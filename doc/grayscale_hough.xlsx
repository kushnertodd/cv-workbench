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n\projects\cv-workbench\doc\"/>
    </mc:Choice>
  </mc:AlternateContent>
  <xr:revisionPtr revIDLastSave="0" documentId="13_ncr:1_{278D53A1-0B9D-4249-BF70-30101D0FB284}" xr6:coauthVersionLast="47" xr6:coauthVersionMax="47" xr10:uidLastSave="{00000000-0000-0000-0000-000000000000}"/>
  <bookViews>
    <workbookView xWindow="-108" yWindow="-108" windowWidth="23256" windowHeight="12576" xr2:uid="{25FA69D5-F36D-41E6-8417-CEE12829D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3" i="1"/>
  <c r="D11" i="1"/>
  <c r="D17" i="1" s="1"/>
  <c r="H10" i="1"/>
  <c r="F10" i="1"/>
  <c r="F13" i="1" s="1"/>
  <c r="D10" i="1"/>
  <c r="D15" i="1" s="1"/>
  <c r="C10" i="1"/>
  <c r="I9" i="1"/>
  <c r="I11" i="1" s="1"/>
  <c r="H9" i="1"/>
  <c r="H11" i="1" s="1"/>
  <c r="H17" i="1" s="1"/>
  <c r="G9" i="1"/>
  <c r="G10" i="1" s="1"/>
  <c r="F9" i="1"/>
  <c r="F11" i="1" s="1"/>
  <c r="F17" i="1" s="1"/>
  <c r="E9" i="1"/>
  <c r="E10" i="1" s="1"/>
  <c r="D9" i="1"/>
  <c r="C9" i="1"/>
  <c r="C11" i="1" s="1"/>
  <c r="C13" i="1" s="1"/>
  <c r="E5" i="1"/>
  <c r="E4" i="1"/>
  <c r="E3" i="1"/>
  <c r="E2" i="1"/>
  <c r="C19" i="1" l="1"/>
  <c r="D19" i="1"/>
  <c r="F19" i="1"/>
  <c r="D13" i="1"/>
  <c r="E15" i="1"/>
  <c r="C17" i="1"/>
  <c r="F15" i="1"/>
  <c r="H19" i="1"/>
  <c r="C15" i="1"/>
  <c r="I10" i="1"/>
  <c r="E11" i="1"/>
  <c r="G11" i="1"/>
  <c r="G17" i="1" l="1"/>
  <c r="G13" i="1"/>
  <c r="G19" i="1"/>
  <c r="I13" i="1"/>
  <c r="I17" i="1"/>
  <c r="I15" i="1"/>
  <c r="E17" i="1"/>
  <c r="E19" i="1"/>
  <c r="G15" i="1"/>
  <c r="E13" i="1"/>
  <c r="I19" i="1"/>
</calcChain>
</file>

<file path=xl/sharedStrings.xml><?xml version="1.0" encoding="utf-8"?>
<sst xmlns="http://schemas.openxmlformats.org/spreadsheetml/2006/main" count="25" uniqueCount="15">
  <si>
    <t>min_y</t>
  </si>
  <si>
    <t>min_x</t>
  </si>
  <si>
    <t>y_left</t>
  </si>
  <si>
    <t>max_x</t>
  </si>
  <si>
    <t>max_y</t>
  </si>
  <si>
    <t>x_right</t>
  </si>
  <si>
    <t>x_top</t>
  </si>
  <si>
    <t>x_bottom</t>
  </si>
  <si>
    <t>theta</t>
  </si>
  <si>
    <t>cos_t</t>
  </si>
  <si>
    <t>sin_t</t>
  </si>
  <si>
    <t>rho</t>
  </si>
  <si>
    <t>rad</t>
  </si>
  <si>
    <t>cos</t>
  </si>
  <si>
    <t>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</si>
</sst>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8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8" fontId="0" fillId="0" borderId="0" xfId="0" applyNumberFormat="1"/>
    <xf numFmtId="168" fontId="0" fillId="0" borderId="1" xfId="0" applyNumberFormat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3E11-D248-4B89-94B6-3D41A0C3CB7D}">
  <dimension ref="B1:I19"/>
  <sheetViews>
    <sheetView tabSelected="1" zoomScale="130" zoomScaleNormal="130" workbookViewId="0">
      <selection activeCell="K12" sqref="K12"/>
    </sheetView>
  </sheetViews>
  <sheetFormatPr defaultRowHeight="14.4" x14ac:dyDescent="0.3"/>
  <sheetData>
    <row r="1" spans="2:9" x14ac:dyDescent="0.3">
      <c r="G1" t="s">
        <v>8</v>
      </c>
      <c r="H1">
        <v>199</v>
      </c>
    </row>
    <row r="2" spans="2:9" x14ac:dyDescent="0.3">
      <c r="B2" t="s">
        <v>1</v>
      </c>
      <c r="C2">
        <v>-50</v>
      </c>
      <c r="D2" t="s">
        <v>2</v>
      </c>
      <c r="E2">
        <f>($H$4-C2*$H$2)/$H$3</f>
        <v>-1842.5462396820544</v>
      </c>
      <c r="G2" t="s">
        <v>9</v>
      </c>
      <c r="H2">
        <v>-0.99863000000000002</v>
      </c>
    </row>
    <row r="3" spans="2:9" x14ac:dyDescent="0.3">
      <c r="B3" t="s">
        <v>3</v>
      </c>
      <c r="C3">
        <v>50</v>
      </c>
      <c r="D3" t="s">
        <v>5</v>
      </c>
      <c r="E3">
        <f>($H$4-C3*$H$2)/$H$3</f>
        <v>65.566722714766115</v>
      </c>
      <c r="G3" t="s">
        <v>10</v>
      </c>
      <c r="H3">
        <v>5.2336000000000001E-2</v>
      </c>
    </row>
    <row r="4" spans="2:9" x14ac:dyDescent="0.3">
      <c r="B4" t="s">
        <v>0</v>
      </c>
      <c r="C4">
        <v>-50</v>
      </c>
      <c r="D4" t="s">
        <v>6</v>
      </c>
      <c r="E4">
        <f>($H$4-C4*$H$3)/$H$2</f>
        <v>43.943402461372081</v>
      </c>
      <c r="G4" t="s">
        <v>11</v>
      </c>
      <c r="H4">
        <v>-46.5</v>
      </c>
    </row>
    <row r="5" spans="2:9" x14ac:dyDescent="0.3">
      <c r="B5" t="s">
        <v>4</v>
      </c>
      <c r="C5">
        <v>50</v>
      </c>
      <c r="D5" t="s">
        <v>7</v>
      </c>
      <c r="E5">
        <f>($H$4-C5*$H$3)/$H$2</f>
        <v>49.18418232979181</v>
      </c>
    </row>
    <row r="7" spans="2:9" x14ac:dyDescent="0.3">
      <c r="B7" t="s">
        <v>11</v>
      </c>
      <c r="C7">
        <v>-46.5</v>
      </c>
      <c r="D7">
        <v>40</v>
      </c>
      <c r="E7">
        <v>-14.1</v>
      </c>
      <c r="F7">
        <v>29.2</v>
      </c>
      <c r="G7">
        <v>-30.3</v>
      </c>
      <c r="H7">
        <v>40</v>
      </c>
      <c r="I7">
        <v>-30.3</v>
      </c>
    </row>
    <row r="8" spans="2:9" x14ac:dyDescent="0.3">
      <c r="B8" s="1" t="s">
        <v>8</v>
      </c>
      <c r="C8" s="1">
        <v>177</v>
      </c>
      <c r="D8" s="1">
        <v>177</v>
      </c>
      <c r="E8" s="1">
        <v>168</v>
      </c>
      <c r="F8" s="1">
        <v>174</v>
      </c>
      <c r="G8" s="1">
        <v>168</v>
      </c>
      <c r="H8" s="1">
        <v>171</v>
      </c>
      <c r="I8" s="1">
        <v>174</v>
      </c>
    </row>
    <row r="9" spans="2:9" x14ac:dyDescent="0.3">
      <c r="B9" t="s">
        <v>12</v>
      </c>
      <c r="C9" s="3">
        <f>C8*3.14159/180</f>
        <v>3.0892301666666664</v>
      </c>
      <c r="D9" s="3">
        <f t="shared" ref="D9:I9" si="0">D8*3.14159/180</f>
        <v>3.0892301666666664</v>
      </c>
      <c r="E9" s="3">
        <f t="shared" si="0"/>
        <v>2.9321506666666663</v>
      </c>
      <c r="F9" s="3">
        <f t="shared" si="0"/>
        <v>3.0368703333333333</v>
      </c>
      <c r="G9" s="3">
        <f t="shared" si="0"/>
        <v>2.9321506666666663</v>
      </c>
      <c r="H9" s="3">
        <f t="shared" si="0"/>
        <v>2.9845104999999994</v>
      </c>
      <c r="I9" s="3">
        <f t="shared" si="0"/>
        <v>3.0368703333333333</v>
      </c>
    </row>
    <row r="10" spans="2:9" x14ac:dyDescent="0.3">
      <c r="B10" t="s">
        <v>13</v>
      </c>
      <c r="C10" s="3">
        <f>COS(C9)</f>
        <v>-0.99862939818765084</v>
      </c>
      <c r="D10" s="3">
        <f t="shared" ref="D10:I10" si="1">COS(D9)</f>
        <v>-0.99862939818765084</v>
      </c>
      <c r="E10" s="3">
        <f t="shared" si="1"/>
        <v>-0.97814708579928766</v>
      </c>
      <c r="F10" s="3">
        <f t="shared" si="1"/>
        <v>-0.99452162723519366</v>
      </c>
      <c r="G10" s="3">
        <f t="shared" si="1"/>
        <v>-0.97814708579928766</v>
      </c>
      <c r="H10" s="3">
        <f t="shared" si="1"/>
        <v>-0.98768794623474454</v>
      </c>
      <c r="I10" s="3">
        <f t="shared" si="1"/>
        <v>-0.99452162723519366</v>
      </c>
    </row>
    <row r="11" spans="2:9" x14ac:dyDescent="0.3">
      <c r="B11" s="1" t="s">
        <v>14</v>
      </c>
      <c r="C11" s="4">
        <f>SIN(C9)</f>
        <v>5.2338562030020908E-2</v>
      </c>
      <c r="D11" s="4">
        <f t="shared" ref="D11:I11" si="2">SIN(D9)</f>
        <v>5.2338562030020908E-2</v>
      </c>
      <c r="E11" s="4">
        <f t="shared" si="2"/>
        <v>0.2079141133794456</v>
      </c>
      <c r="F11" s="4">
        <f t="shared" si="2"/>
        <v>0.10453101435202192</v>
      </c>
      <c r="G11" s="4">
        <f t="shared" si="2"/>
        <v>0.2079141133794456</v>
      </c>
      <c r="H11" s="4">
        <f t="shared" si="2"/>
        <v>0.15643695491344892</v>
      </c>
      <c r="I11" s="4">
        <f t="shared" si="2"/>
        <v>0.10453101435202192</v>
      </c>
    </row>
    <row r="12" spans="2:9" x14ac:dyDescent="0.3">
      <c r="B12" t="s">
        <v>1</v>
      </c>
      <c r="C12">
        <v>-50</v>
      </c>
      <c r="D12">
        <v>-50</v>
      </c>
      <c r="E12">
        <v>-50</v>
      </c>
      <c r="F12">
        <v>-50</v>
      </c>
      <c r="G12">
        <v>-50</v>
      </c>
      <c r="H12">
        <v>-50</v>
      </c>
      <c r="I12">
        <v>-50</v>
      </c>
    </row>
    <row r="13" spans="2:9" x14ac:dyDescent="0.3">
      <c r="B13" s="1" t="s">
        <v>2</v>
      </c>
      <c r="C13" s="2">
        <f>(C$7-C12*C$10)/C$11</f>
        <v>-1842.4554701000452</v>
      </c>
      <c r="D13" s="2">
        <f t="shared" ref="D13:I13" si="3">(D$7-D12*D$10)/D$11</f>
        <v>-189.75435174711038</v>
      </c>
      <c r="E13" s="2">
        <f t="shared" si="3"/>
        <v>-303.04510485526902</v>
      </c>
      <c r="F13" s="2">
        <f t="shared" si="3"/>
        <v>-196.36355285557079</v>
      </c>
      <c r="G13" s="2">
        <f t="shared" si="3"/>
        <v>-380.96189336319884</v>
      </c>
      <c r="H13" s="2">
        <f t="shared" si="3"/>
        <v>-59.988366028533875</v>
      </c>
      <c r="I13" s="2">
        <f t="shared" si="3"/>
        <v>-765.57260883608512</v>
      </c>
    </row>
    <row r="14" spans="2:9" x14ac:dyDescent="0.3">
      <c r="B14" t="s">
        <v>3</v>
      </c>
      <c r="C14">
        <v>50</v>
      </c>
      <c r="D14">
        <v>50</v>
      </c>
      <c r="E14">
        <v>50</v>
      </c>
      <c r="F14">
        <v>50</v>
      </c>
      <c r="G14">
        <v>50</v>
      </c>
      <c r="H14">
        <v>50</v>
      </c>
      <c r="I14">
        <v>50</v>
      </c>
    </row>
    <row r="15" spans="2:9" x14ac:dyDescent="0.3">
      <c r="B15" s="1" t="s">
        <v>5</v>
      </c>
      <c r="C15" s="2">
        <f>(C$7-C14*C$10)/C$11</f>
        <v>65.562938229259785</v>
      </c>
      <c r="D15" s="2">
        <f t="shared" ref="D15" si="4">(D$7-D14*D$10)/D$11</f>
        <v>1718.2640565821946</v>
      </c>
      <c r="E15" s="2">
        <f t="shared" ref="E15" si="5">(E$7-E14*E$10)/E$11</f>
        <v>167.41217671183566</v>
      </c>
      <c r="F15" s="2">
        <f t="shared" ref="F15" si="6">(F$7-F14*F$10)/F$11</f>
        <v>755.04941620451268</v>
      </c>
      <c r="G15" s="2">
        <f t="shared" ref="G15" si="7">(G$7-G14*G$10)/G$11</f>
        <v>89.495388203905861</v>
      </c>
      <c r="H15" s="2">
        <f t="shared" ref="H15" si="8">(H$7-H14*H$10)/H$11</f>
        <v>571.37648429164619</v>
      </c>
      <c r="I15" s="2">
        <f t="shared" ref="I15" si="9">(I$7-I14*I$10)/I$11</f>
        <v>185.84036022399823</v>
      </c>
    </row>
    <row r="16" spans="2:9" x14ac:dyDescent="0.3">
      <c r="B16" t="s">
        <v>0</v>
      </c>
      <c r="C16">
        <v>-50</v>
      </c>
      <c r="D16">
        <v>-50</v>
      </c>
      <c r="E16">
        <v>-50</v>
      </c>
      <c r="F16">
        <v>-50</v>
      </c>
      <c r="G16">
        <v>-50</v>
      </c>
      <c r="H16">
        <v>-50</v>
      </c>
      <c r="I16">
        <v>-50</v>
      </c>
    </row>
    <row r="17" spans="2:9" x14ac:dyDescent="0.3">
      <c r="B17" s="1" t="s">
        <v>6</v>
      </c>
      <c r="C17" s="5">
        <f>(C$7-C16*C$11)/C$10</f>
        <v>43.943300666032421</v>
      </c>
      <c r="D17" s="5">
        <f t="shared" ref="D17:I17" si="10">(D$7-D16*D$11)/D$10</f>
        <v>-42.675419108273609</v>
      </c>
      <c r="E17" s="5">
        <f t="shared" si="10"/>
        <v>3.7870524635881071</v>
      </c>
      <c r="F17" s="5">
        <f t="shared" si="10"/>
        <v>-34.616191116233601</v>
      </c>
      <c r="G17" s="5">
        <f t="shared" si="10"/>
        <v>20.34897881923661</v>
      </c>
      <c r="H17" s="5">
        <f t="shared" si="10"/>
        <v>-48.417972425378359</v>
      </c>
      <c r="I17" s="5">
        <f t="shared" si="10"/>
        <v>25.211567647959559</v>
      </c>
    </row>
    <row r="18" spans="2:9" x14ac:dyDescent="0.3">
      <c r="B18" t="s">
        <v>4</v>
      </c>
      <c r="C18">
        <v>50</v>
      </c>
      <c r="D18">
        <v>50</v>
      </c>
      <c r="E18">
        <v>50</v>
      </c>
      <c r="F18">
        <v>50</v>
      </c>
      <c r="G18">
        <v>50</v>
      </c>
      <c r="H18">
        <v>50</v>
      </c>
      <c r="I18">
        <v>50</v>
      </c>
    </row>
    <row r="19" spans="2:9" x14ac:dyDescent="0.3">
      <c r="B19" s="1" t="s">
        <v>7</v>
      </c>
      <c r="C19" s="5">
        <f>(C$7-C18*C$11)/C$10</f>
        <v>49.184340247383304</v>
      </c>
      <c r="D19" s="5">
        <f t="shared" ref="D19" si="11">(D$7-D18*D$11)/D$10</f>
        <v>-37.434379526922719</v>
      </c>
      <c r="E19" s="5">
        <f t="shared" ref="E19" si="12">(E$7-E18*E$11)/E$10</f>
        <v>25.042967488837064</v>
      </c>
      <c r="F19" s="5">
        <f t="shared" ref="F19" si="13">(F$7-F18*F$11)/F$10</f>
        <v>-24.105508242234979</v>
      </c>
      <c r="G19" s="5">
        <f t="shared" ref="G19" si="14">(G$7-G18*G$11)/G$10</f>
        <v>41.604893844485566</v>
      </c>
      <c r="H19" s="5">
        <f t="shared" ref="H19" si="15">(H$7-H18*H$11)/H$10</f>
        <v>-32.57926997792859</v>
      </c>
      <c r="I19" s="5">
        <f t="shared" ref="I19" si="16">(I$7-I18*I$11)/I$10</f>
        <v>35.722250521958181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2025-07-16T15:35:51Z</dcterms:created>
  <dcterms:modified xsi:type="dcterms:W3CDTF">2025-07-16T15:58:49Z</dcterms:modified>
</cp:coreProperties>
</file>